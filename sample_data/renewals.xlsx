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bd837e41b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ewals" sheetId="1" r:id="R39fa74aecf484000"/>
    <x:sheet xmlns:r="http://schemas.openxmlformats.org/officeDocument/2006/relationships" name="Summary" sheetId="2" r:id="Rd1d80498ede742c7"/>
    <x:sheet xmlns:r="http://schemas.openxmlformats.org/officeDocument/2006/relationships" name="Data Dictionary" sheetId="3" r:id="R4f1442abcca6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i/>
      <x:sz val="11"/>
      <x:color rgb="FF52606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D5F85"/>
      </x:patternFill>
    </x:fill>
    <x:fill>
      <x:patternFill patternType="solid">
        <x:fgColor rgb="FFEAF2F8"/>
      </x:patternFill>
    </x:fill>
    <x:fill>
      <x:patternFill patternType="solid">
        <x:fgColor rgb="FFF3F6F9"/>
      </x:patternFill>
    </x:fill>
  </x:fills>
  <x:borders count="16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left style="medium">
        <x:color rgb="FF7B9DB7"/>
      </x:left>
      <x:top style="medium">
        <x:color rgb="FF7B9DB7"/>
      </x:top>
    </x:border>
    <x:border>
      <x:right style="medium">
        <x:color rgb="FF7B9DB7"/>
      </x:right>
      <x:top style="medium">
        <x:color rgb="FF7B9DB7"/>
      </x:top>
    </x:border>
    <x:border>
      <x:left style="medium">
        <x:color rgb="FF7B9DB7"/>
      </x:left>
    </x:border>
    <x:border>
      <x:right style="medium">
        <x:color rgb="FF7B9DB7"/>
      </x:right>
    </x:border>
    <x:border>
      <x:left style="medium">
        <x:color rgb="FF7B9DB7"/>
      </x:left>
      <x:bottom style="medium">
        <x:color rgb="FF7B9DB7"/>
      </x:bottom>
    </x:border>
    <x:border>
      <x:right style="medium">
        <x:color rgb="FF7B9DB7"/>
      </x:right>
      <x:bottom style="medium">
        <x:color rgb="FF7B9DB7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200" fontId="2" fillId="0" borderId="8" xfId="0" applyNumberFormat="1" applyFont="1" applyFill="1" applyBorder="1" applyAlignment="1">
      <x:alignment vertical="top"/>
    </x:xf>
    <x:xf numFmtId="201" fontId="2" fillId="0" borderId="8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3" borderId="5" xfId="0" applyNumberFormat="1" applyFont="1" applyFill="1" applyBorder="1"/>
    <x:xf numFmtId="0" fontId="1" fillId="3" borderId="5" xfId="0" applyNumberFormat="1" applyFont="1" applyFill="1" applyBorder="1"/>
    <x:xf numFmtId="201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201" fontId="4" fillId="4" borderId="1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2E1"/>
        </x:patternFill>
      </x:fill>
    </x:dxf>
    <x:dxf>
      <x:font>
        <x:b/>
        <x:color rgb="FF7A4B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d9178b02942c1" /><Relationship Type="http://schemas.openxmlformats.org/officeDocument/2006/relationships/theme" Target="/xl/theme/theme1.xml" Id="R0ccc485901824ed3" /><Relationship Type="http://schemas.openxmlformats.org/officeDocument/2006/relationships/sharedStrings" Target="/xl/sharedStrings.xml" Id="Rb3e838185ab048f5" /><Relationship Type="http://schemas.openxmlformats.org/officeDocument/2006/relationships/worksheet" Target="/xl/worksheets/sheet1.xml" Id="R39fa74aecf484000" /><Relationship Type="http://schemas.openxmlformats.org/officeDocument/2006/relationships/worksheet" Target="/xl/worksheets/sheet2.xml" Id="Rd1d80498ede742c7" /><Relationship Type="http://schemas.openxmlformats.org/officeDocument/2006/relationships/worksheet" Target="/xl/worksheets/sheet3.xml" Id="R4f1442abcca64e19" /></Relationships>
</file>

<file path=xl/tables/table1.xml><?xml version="1.0" encoding="utf-8"?>
<x:table xmlns:x="http://schemas.openxmlformats.org/spreadsheetml/2006/main" id="1" name="RenewalsTable" displayName="RenewalsTable" ref="A1:L11" headerRowCount="1" totalsRowCount="0" totalsRowShown="0">
  <x:tableColumns count="12">
    <x:tableColumn id="1" name="Renewal_ID"/>
    <x:tableColumn id="2" name="Advertiser"/>
    <x:tableColumn id="3" name="Region"/>
    <x:tableColumn id="4" name="Account_Manager"/>
    <x:tableColumn id="5" name="Renewal_Date"/>
    <x:tableColumn id="6" name="Annual_Value_USD"/>
    <x:tableColumn id="7" name="Risk_Level"/>
    <x:tableColumn id="8" name="Status"/>
    <x:tableColumn id="9" name="Last_Campaign_ID"/>
    <x:tableColumn id="10" name="Concern"/>
    <x:tableColumn id="11" name="Recommended_Action"/>
    <x:tableColumn id="12" name="Attribution_Men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b3b4de72c043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1" hidden="0" customWidth="1"/>
    <x:col min="4" max="4" width="17" hidden="0" customWidth="1"/>
    <x:col min="5" max="5" width="15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48" hidden="0" customWidth="1"/>
    <x:col min="11" max="11" width="48" hidden="0" customWidth="1"/>
    <x:col min="12" max="12" width="19" hidden="0" customWidth="1"/>
  </x:cols>
  <x:sheetData>
    <x:row r="1">
      <x:c r="A1" s="10" t="str">
        <x:v>Renewal_ID</x:v>
      </x:c>
      <x:c r="B1" s="11" t="str">
        <x:v>Advertiser</x:v>
      </x:c>
      <x:c r="C1" s="11" t="str">
        <x:v>Region</x:v>
      </x:c>
      <x:c r="D1" s="11" t="str">
        <x:v>Account_Manager</x:v>
      </x:c>
      <x:c r="E1" s="11" t="str">
        <x:v>Renewal_Date</x:v>
      </x:c>
      <x:c r="F1" s="11" t="str">
        <x:v>Annual_Value_USD</x:v>
      </x:c>
      <x:c r="G1" s="11" t="str">
        <x:v>Risk_Level</x:v>
      </x:c>
      <x:c r="H1" s="11" t="str">
        <x:v>Status</x:v>
      </x:c>
      <x:c r="I1" s="11" t="str">
        <x:v>Last_Campaign_ID</x:v>
      </x:c>
      <x:c r="J1" s="11" t="str">
        <x:v>Concern</x:v>
      </x:c>
      <x:c r="K1" s="11" t="str">
        <x:v>Recommended_Action</x:v>
      </x:c>
      <x:c r="L1" s="12" t="str">
        <x:v>Attribution_Mention</x:v>
      </x:c>
    </x:row>
    <x:row r="2" ht="42" customHeight="1">
      <x:c r="A2" s="13" t="str">
        <x:v>REN-001</x:v>
      </x:c>
      <x:c r="B2" s="14" t="str">
        <x:v>Horizon Fitness</x:v>
      </x:c>
      <x:c r="C2" s="14" t="str">
        <x:v>East</x:v>
      </x:c>
      <x:c r="D2" s="14" t="str">
        <x:v>Avery Chen</x:v>
      </x:c>
      <x:c r="E2" s="15" t="n">
        <x:v>46280</x:v>
      </x:c>
      <x:c r="F2" s="16" t="n">
        <x:v>180000</x:v>
      </x:c>
      <x:c r="G2" s="14" t="str">
        <x:v>Low</x:v>
      </x:c>
      <x:c r="H2" s="14" t="str">
        <x:v>Open</x:v>
      </x:c>
      <x:c r="I2" s="14" t="str">
        <x:v>CMP-001</x:v>
      </x:c>
      <x:c r="J2" s="17" t="str">
        <x:v>No material concern; trial volume exceeded target.</x:v>
      </x:c>
      <x:c r="K2" s="17" t="str">
        <x:v>Offer a twelve-month audio package.</x:v>
      </x:c>
      <x:c r="L2" s="18" t="str">
        <x:f>IF(ISERROR(SEARCH("attribution",J2)),"No","Yes")</x:f>
        <x:v>No</x:v>
      </x:c>
    </x:row>
    <x:row r="3" ht="42" customHeight="1">
      <x:c r="A3" s="13" t="str">
        <x:v>REN-002</x:v>
      </x:c>
      <x:c r="B3" s="14" t="str">
        <x:v>BluePeak Travel</x:v>
      </x:c>
      <x:c r="C3" s="14" t="str">
        <x:v>West</x:v>
      </x:c>
      <x:c r="D3" s="14" t="str">
        <x:v>Morgan Lee</x:v>
      </x:c>
      <x:c r="E3" s="15" t="n">
        <x:v>46265</x:v>
      </x:c>
      <x:c r="F3" s="16" t="n">
        <x:v>150000</x:v>
      </x:c>
      <x:c r="G3" s="14" t="str">
        <x:v>High</x:v>
      </x:c>
      <x:c r="H3" s="14" t="str">
        <x:v>At Risk</x:v>
      </x:c>
      <x:c r="I3" s="14" t="str">
        <x:v>CMP-002</x:v>
      </x:c>
      <x:c r="J3" s="17" t="str">
        <x:v>Mobile booking attribution mismatch delayed performance reporting.</x:v>
      </x:c>
      <x:c r="K3" s="17" t="str">
        <x:v>Validate server-to-server event mapping before renewal review.</x:v>
      </x:c>
      <x:c r="L3" s="18" t="str">
        <x:f>IF(ISERROR(SEARCH("attribution",J3)),"No","Yes")</x:f>
        <x:v>Yes</x:v>
      </x:c>
    </x:row>
    <x:row r="4" ht="42" customHeight="1">
      <x:c r="A4" s="13" t="str">
        <x:v>REN-003</x:v>
      </x:c>
      <x:c r="B4" s="14" t="str">
        <x:v>GreenFork Market</x:v>
      </x:c>
      <x:c r="C4" s="14" t="str">
        <x:v>Central</x:v>
      </x:c>
      <x:c r="D4" s="14" t="str">
        <x:v>Jordan Patel</x:v>
      </x:c>
      <x:c r="E4" s="15" t="n">
        <x:v>46315</x:v>
      </x:c>
      <x:c r="F4" s="16" t="n">
        <x:v>95000</x:v>
      </x:c>
      <x:c r="G4" s="14" t="str">
        <x:v>High</x:v>
      </x:c>
      <x:c r="H4" s="14" t="str">
        <x:v>At Risk</x:v>
      </x:c>
      <x:c r="I4" s="14" t="str">
        <x:v>CMP-003</x:v>
      </x:c>
      <x:c r="J4" s="17" t="str">
        <x:v>The attribution model cannot reconcile display view-through conversions.</x:v>
      </x:c>
      <x:c r="K4" s="17" t="str">
        <x:v>Run a controlled incrementality test and refresh creative.</x:v>
      </x:c>
      <x:c r="L4" s="18" t="str">
        <x:f>IF(ISERROR(SEARCH("attribution",J4)),"No","Yes")</x:f>
        <x:v>Yes</x:v>
      </x:c>
    </x:row>
    <x:row r="5" ht="42" customHeight="1">
      <x:c r="A5" s="13" t="str">
        <x:v>REN-004</x:v>
      </x:c>
      <x:c r="B5" s="14" t="str">
        <x:v>NovaLearn</x:v>
      </x:c>
      <x:c r="C5" s="14" t="str">
        <x:v>East</x:v>
      </x:c>
      <x:c r="D5" s="14" t="str">
        <x:v>Avery Chen</x:v>
      </x:c>
      <x:c r="E5" s="15" t="n">
        <x:v>46331</x:v>
      </x:c>
      <x:c r="F5" s="16" t="n">
        <x:v>210000</x:v>
      </x:c>
      <x:c r="G5" s="14" t="str">
        <x:v>Medium</x:v>
      </x:c>
      <x:c r="H5" s="14" t="str">
        <x:v>Open</x:v>
      </x:c>
      <x:c r="I5" s="14" t="str">
        <x:v>CMP-004</x:v>
      </x:c>
      <x:c r="J5" s="17" t="str">
        <x:v>The client wants more evidence for bilingual audience expansion.</x:v>
      </x:c>
      <x:c r="K5" s="17" t="str">
        <x:v>Present completion-rate lift by language segment.</x:v>
      </x:c>
      <x:c r="L5" s="18" t="str">
        <x:f>IF(ISERROR(SEARCH("attribution",J5)),"No","Yes")</x:f>
        <x:v>No</x:v>
      </x:c>
    </x:row>
    <x:row r="6" ht="42" customHeight="1">
      <x:c r="A6" s="13" t="str">
        <x:v>REN-005</x:v>
      </x:c>
      <x:c r="B6" s="14" t="str">
        <x:v>SunTrail Auto</x:v>
      </x:c>
      <x:c r="C6" s="14" t="str">
        <x:v>South</x:v>
      </x:c>
      <x:c r="D6" s="14" t="str">
        <x:v>Riley Brooks</x:v>
      </x:c>
      <x:c r="E6" s="15" t="n">
        <x:v>46293</x:v>
      </x:c>
      <x:c r="F6" s="16" t="n">
        <x:v>240000</x:v>
      </x:c>
      <x:c r="G6" s="14" t="str">
        <x:v>Medium</x:v>
      </x:c>
      <x:c r="H6" s="14" t="str">
        <x:v>Open</x:v>
      </x:c>
      <x:c r="I6" s="14" t="str">
        <x:v>CMP-005</x:v>
      </x:c>
      <x:c r="J6" s="17" t="str">
        <x:v>Slow dealer landing pages reduced mobile conversion efficiency.</x:v>
      </x:c>
      <x:c r="K6" s="17" t="str">
        <x:v>Coordinate a landing-page speed test.</x:v>
      </x:c>
      <x:c r="L6" s="18" t="str">
        <x:f>IF(ISERROR(SEARCH("attribution",J6)),"No","Yes")</x:f>
        <x:v>No</x:v>
      </x:c>
    </x:row>
    <x:row r="7" ht="42" customHeight="1">
      <x:c r="A7" s="13" t="str">
        <x:v>REN-006</x:v>
      </x:c>
      <x:c r="B7" s="14" t="str">
        <x:v>BrightNest</x:v>
      </x:c>
      <x:c r="C7" s="14" t="str">
        <x:v>West</x:v>
      </x:c>
      <x:c r="D7" s="14" t="str">
        <x:v>Morgan Lee</x:v>
      </x:c>
      <x:c r="E7" s="15" t="n">
        <x:v>46368</x:v>
      </x:c>
      <x:c r="F7" s="16" t="n">
        <x:v>175000</x:v>
      </x:c>
      <x:c r="G7" s="14" t="str">
        <x:v>Low</x:v>
      </x:c>
      <x:c r="H7" s="14" t="str">
        <x:v>Open</x:v>
      </x:c>
      <x:c r="I7" s="14" t="str">
        <x:v>CMP-006</x:v>
      </x:c>
      <x:c r="J7" s="17" t="str">
        <x:v>No material concern; promo-code measurement is stable.</x:v>
      </x:c>
      <x:c r="K7" s="17" t="str">
        <x:v>Propose a podcast and streaming-audio bundle.</x:v>
      </x:c>
      <x:c r="L7" s="18" t="str">
        <x:f>IF(ISERROR(SEARCH("attribution",J7)),"No","Yes")</x:f>
        <x:v>No</x:v>
      </x:c>
    </x:row>
    <x:row r="8" ht="42" customHeight="1">
      <x:c r="A8" s="13" t="str">
        <x:v>REN-007</x:v>
      </x:c>
      <x:c r="B8" s="14" t="str">
        <x:v>CloudCart</x:v>
      </x:c>
      <x:c r="C8" s="14" t="str">
        <x:v>Central</x:v>
      </x:c>
      <x:c r="D8" s="14" t="str">
        <x:v>Jordan Patel</x:v>
      </x:c>
      <x:c r="E8" s="15" t="n">
        <x:v>46259</x:v>
      </x:c>
      <x:c r="F8" s="16" t="n">
        <x:v>200000</x:v>
      </x:c>
      <x:c r="G8" s="14" t="str">
        <x:v>High</x:v>
      </x:c>
      <x:c r="H8" s="14" t="str">
        <x:v>At Risk</x:v>
      </x:c>
      <x:c r="I8" s="14" t="str">
        <x:v>CMP-007</x:v>
      </x:c>
      <x:c r="J8" s="17" t="str">
        <x:v>Audience saturation increased frequency beyond the client preference.</x:v>
      </x:c>
      <x:c r="K8" s="17" t="str">
        <x:v>Broaden audience segments and apply a frequency cap.</x:v>
      </x:c>
      <x:c r="L8" s="18" t="str">
        <x:f>IF(ISERROR(SEARCH("attribution",J8)),"No","Yes")</x:f>
        <x:v>No</x:v>
      </x:c>
    </x:row>
    <x:row r="9" ht="42" customHeight="1">
      <x:c r="A9" s="13" t="str">
        <x:v>REN-008</x:v>
      </x:c>
      <x:c r="B9" s="14" t="str">
        <x:v>WellSpring Health</x:v>
      </x:c>
      <x:c r="C9" s="14" t="str">
        <x:v>South</x:v>
      </x:c>
      <x:c r="D9" s="14" t="str">
        <x:v>Riley Brooks</x:v>
      </x:c>
      <x:c r="E9" s="15" t="n">
        <x:v>46296</x:v>
      </x:c>
      <x:c r="F9" s="16" t="n">
        <x:v>160000</x:v>
      </x:c>
      <x:c r="G9" s="14" t="str">
        <x:v>Low</x:v>
      </x:c>
      <x:c r="H9" s="14" t="str">
        <x:v>Open</x:v>
      </x:c>
      <x:c r="I9" s="14" t="str">
        <x:v>CMP-008</x:v>
      </x:c>
      <x:c r="J9" s="17" t="str">
        <x:v>No material concern; contextual placements are outperforming plan.</x:v>
      </x:c>
      <x:c r="K9" s="17" t="str">
        <x:v>Expand contextual wellness inventory.</x:v>
      </x:c>
      <x:c r="L9" s="18" t="str">
        <x:f>IF(ISERROR(SEARCH("attribution",J9)),"No","Yes")</x:f>
        <x:v>No</x:v>
      </x:c>
    </x:row>
    <x:row r="10" ht="42" customHeight="1">
      <x:c r="A10" s="13" t="str">
        <x:v>REN-009</x:v>
      </x:c>
      <x:c r="B10" s="14" t="str">
        <x:v>EchoMobile</x:v>
      </x:c>
      <x:c r="C10" s="14" t="str">
        <x:v>East</x:v>
      </x:c>
      <x:c r="D10" s="14" t="str">
        <x:v>Avery Chen</x:v>
      </x:c>
      <x:c r="E10" s="15" t="n">
        <x:v>46344</x:v>
      </x:c>
      <x:c r="F10" s="16" t="n">
        <x:v>130000</x:v>
      </x:c>
      <x:c r="G10" s="14" t="str">
        <x:v>Medium</x:v>
      </x:c>
      <x:c r="H10" s="14" t="str">
        <x:v>Open</x:v>
      </x:c>
      <x:c r="I10" s="14" t="str">
        <x:v>N/A</x:v>
      </x:c>
      <x:c r="J10" s="17" t="str">
        <x:v>Consent-language review is pending for a planned app campaign.</x:v>
      </x:c>
      <x:c r="K10" s="17" t="str">
        <x:v>Complete privacy review before launch.</x:v>
      </x:c>
      <x:c r="L10" s="18" t="str">
        <x:f>IF(ISERROR(SEARCH("attribution",J10)),"No","Yes")</x:f>
        <x:v>No</x:v>
      </x:c>
    </x:row>
    <x:row r="11" ht="42" customHeight="1">
      <x:c r="A11" s="19" t="str">
        <x:v>REN-010</x:v>
      </x:c>
      <x:c r="B11" s="20" t="str">
        <x:v>MetroBank</x:v>
      </x:c>
      <x:c r="C11" s="20" t="str">
        <x:v>West</x:v>
      </x:c>
      <x:c r="D11" s="20" t="str">
        <x:v>Morgan Lee</x:v>
      </x:c>
      <x:c r="E11" s="21" t="n">
        <x:v>46275</x:v>
      </x:c>
      <x:c r="F11" s="22" t="n">
        <x:v>225000</x:v>
      </x:c>
      <x:c r="G11" s="20" t="str">
        <x:v>High</x:v>
      </x:c>
      <x:c r="H11" s="20" t="str">
        <x:v>At Risk</x:v>
      </x:c>
      <x:c r="I11" s="20" t="str">
        <x:v>N/A</x:v>
      </x:c>
      <x:c r="J11" s="23" t="str">
        <x:v>Attribution tags are blocked in part of the secure application flow.</x:v>
      </x:c>
      <x:c r="K11" s="23" t="str">
        <x:v>Approve a privacy-safe offline conversion feed.</x:v>
      </x:c>
      <x:c r="L11" s="24" t="str">
        <x:f>IF(ISERROR(SEARCH("attribution",J11)),"No","Yes")</x:f>
        <x:v>Yes</x:v>
      </x:c>
    </x:row>
  </x:sheetData>
  <x:conditionalFormatting sqref="G2:G11">
    <x:cfRule type="containsText" dxfId="0" priority="1" operator="containsText" text="High"/>
  </x:conditionalFormatting>
  <x:conditionalFormatting sqref="H2:H11">
    <x:cfRule type="containsText" dxfId="1" priority="2" operator="containsText" text="At Risk"/>
  </x:conditionalFormatting>
  <x:dataValidations count="2">
    <x:dataValidation type="list" sqref="G2:G11">
      <x:formula1>"Low,Medium,High"</x:formula1>
    </x:dataValidation>
    <x:dataValidation type="list" sqref="H2:H11">
      <x:formula1>"Open,At Risk,Renewed"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b3b4de72c043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4" customHeight="1">
      <x:c r="A1" s="27" t="str">
        <x:v>Fictional Advertiser Renewal Portfolio</x:v>
      </x:c>
      <x:c r="B1" s="27"/>
      <x:c r="C1" s="27"/>
      <x:c r="D1" s="27"/>
      <x:c r="E1" s="27"/>
    </x:row>
    <x:row r="3">
      <x:c r="A3" s="30" t="str">
        <x:v>Region</x:v>
      </x:c>
      <x:c r="B3" s="30" t="str">
        <x:v>Annual Value</x:v>
      </x:c>
      <x:c r="C3" s="30" t="str">
        <x:v>Renewal Count</x:v>
      </x:c>
      <x:c r="D3" s="30" t="str">
        <x:v>High Risk</x:v>
      </x:c>
    </x:row>
    <x:row r="4">
      <x:c r="A4" s="28" t="str">
        <x:v>East</x:v>
      </x:c>
      <x:c r="B4" s="31" t="n">
        <x:f>SUMIF('Renewals'!$C$2:$C$11,A4,'Renewals'!$F$2:$F$11)</x:f>
        <x:v>520000</x:v>
      </x:c>
      <x:c r="C4" s="28" t="n">
        <x:f>COUNTIF('Renewals'!$C$2:$C$11,A4)</x:f>
        <x:v>3</x:v>
      </x:c>
      <x:c r="D4" s="28" t="n">
        <x:f>COUNTIFS('Renewals'!$C$2:$C$11,A4,'Renewals'!$G$2:$G$11,"High")</x:f>
        <x:v>0</x:v>
      </x:c>
    </x:row>
    <x:row r="5">
      <x:c r="A5" s="28" t="str">
        <x:v>West</x:v>
      </x:c>
      <x:c r="B5" s="31" t="n">
        <x:f>SUMIF('Renewals'!$C$2:$C$11,A5,'Renewals'!$F$2:$F$11)</x:f>
        <x:v>550000</x:v>
      </x:c>
      <x:c r="C5" s="28" t="n">
        <x:f>COUNTIF('Renewals'!$C$2:$C$11,A5)</x:f>
        <x:v>3</x:v>
      </x:c>
      <x:c r="D5" s="28" t="n">
        <x:f>COUNTIFS('Renewals'!$C$2:$C$11,A5,'Renewals'!$G$2:$G$11,"High")</x:f>
        <x:v>2</x:v>
      </x:c>
    </x:row>
    <x:row r="6">
      <x:c r="A6" s="28" t="str">
        <x:v>Central</x:v>
      </x:c>
      <x:c r="B6" s="31" t="n">
        <x:f>SUMIF('Renewals'!$C$2:$C$11,A6,'Renewals'!$F$2:$F$11)</x:f>
        <x:v>295000</x:v>
      </x:c>
      <x:c r="C6" s="28" t="n">
        <x:f>COUNTIF('Renewals'!$C$2:$C$11,A6)</x:f>
        <x:v>2</x:v>
      </x:c>
      <x:c r="D6" s="28" t="n">
        <x:f>COUNTIFS('Renewals'!$C$2:$C$11,A6,'Renewals'!$G$2:$G$11,"High")</x:f>
        <x:v>2</x:v>
      </x:c>
    </x:row>
    <x:row r="7">
      <x:c r="A7" s="28" t="str">
        <x:v>South</x:v>
      </x:c>
      <x:c r="B7" s="31" t="n">
        <x:f>SUMIF('Renewals'!$C$2:$C$11,A7,'Renewals'!$F$2:$F$11)</x:f>
        <x:v>400000</x:v>
      </x:c>
      <x:c r="C7" s="28" t="n">
        <x:f>COUNTIF('Renewals'!$C$2:$C$11,A7)</x:f>
        <x:v>2</x:v>
      </x:c>
      <x:c r="D7" s="28" t="n">
        <x:f>COUNTIFS('Renewals'!$C$2:$C$11,A7,'Renewals'!$G$2:$G$11,"High")</x:f>
        <x:v>0</x:v>
      </x:c>
    </x:row>
    <x:row r="9">
      <x:c r="A9" s="34" t="str">
        <x:v>Total annual value</x:v>
      </x:c>
      <x:c r="B9" s="40" t="n">
        <x:f>SUM('Renewals'!$F$2:$F$11)</x:f>
        <x:v>1765000</x:v>
      </x:c>
    </x:row>
    <x:row r="10">
      <x:c r="A10" s="36" t="str">
        <x:v>High-risk renewals</x:v>
      </x:c>
      <x:c r="B10" s="37" t="n">
        <x:f>COUNTIF('Renewals'!$G$2:$G$11,"High")</x:f>
        <x:v>4</x:v>
      </x:c>
    </x:row>
    <x:row r="11">
      <x:c r="A11" s="38" t="str">
        <x:v>High-risk concerns mentioning attribution</x:v>
      </x:c>
      <x:c r="B11" s="39" t="n">
        <x:f>COUNTIFS('Renewals'!$G$2:$G$11,"High",'Renewals'!$L$2:$L$11,"Yes")</x:f>
        <x:v>3</x:v>
      </x:c>
    </x:row>
    <x:row r="13">
      <x:c r="A13" s="43" t="str">
        <x:v>Fabricated capstone data. Values and organizations are fictional and safe for local testing.</x:v>
      </x:c>
      <x:c r="B13" s="43"/>
      <x:c r="C13" s="43"/>
      <x:c r="D13" s="43"/>
      <x:c r="E13" s="43"/>
    </x:row>
    <x:row r="14">
      <x:c r="A14" s="43"/>
      <x:c r="B14" s="43"/>
      <x:c r="C14" s="43"/>
      <x:c r="D14" s="43"/>
      <x:c r="E14" s="43"/>
    </x:row>
  </x:sheetData>
  <x:mergeCells>
    <x:mergeCell ref="A1:E1"/>
    <x:mergeCell ref="A13:E13"/>
    <x:mergeCell ref="A14:E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42" hidden="0" customWidth="1"/>
  </x:cols>
  <x:sheetData>
    <x:row r="1">
      <x:c r="A1" s="44" t="str">
        <x:v>Field</x:v>
      </x:c>
      <x:c r="B1" s="45" t="str">
        <x:v>Meaning</x:v>
      </x:c>
      <x:c r="C1" s="46" t="str">
        <x:v>RAG / analysis use</x:v>
      </x:c>
    </x:row>
    <x:row r="2">
      <x:c r="A2" s="47" t="str">
        <x:v>Renewal_ID</x:v>
      </x:c>
      <x:c r="B2" s="52" t="str">
        <x:v>Fictional renewal record identifier</x:v>
      </x:c>
      <x:c r="C2" s="53" t="str">
        <x:v>Citation and row traceability</x:v>
      </x:c>
    </x:row>
    <x:row r="3">
      <x:c r="A3" s="47" t="str">
        <x:v>Advertiser</x:v>
      </x:c>
      <x:c r="B3" s="52" t="str">
        <x:v>Fictional advertiser name</x:v>
      </x:c>
      <x:c r="C3" s="53" t="str">
        <x:v>Entity questions and grouping</x:v>
      </x:c>
    </x:row>
    <x:row r="4">
      <x:c r="A4" s="47" t="str">
        <x:v>Region</x:v>
      </x:c>
      <x:c r="B4" s="52" t="str">
        <x:v>Sales region</x:v>
      </x:c>
      <x:c r="C4" s="53" t="str">
        <x:v>Deterministic grouping</x:v>
      </x:c>
    </x:row>
    <x:row r="5">
      <x:c r="A5" s="47" t="str">
        <x:v>Account_Manager</x:v>
      </x:c>
      <x:c r="B5" s="52" t="str">
        <x:v>Fictional account owner</x:v>
      </x:c>
      <x:c r="C5" s="53" t="str">
        <x:v>Filtering</x:v>
      </x:c>
    </x:row>
    <x:row r="6">
      <x:c r="A6" s="47" t="str">
        <x:v>Renewal_Date</x:v>
      </x:c>
      <x:c r="B6" s="52" t="str">
        <x:v>Planned renewal decision date</x:v>
      </x:c>
      <x:c r="C6" s="53" t="str">
        <x:v>Date filtering</x:v>
      </x:c>
    </x:row>
    <x:row r="7">
      <x:c r="A7" s="47" t="str">
        <x:v>Annual_Value_USD</x:v>
      </x:c>
      <x:c r="B7" s="52" t="str">
        <x:v>Potential annual contract value</x:v>
      </x:c>
      <x:c r="C7" s="53" t="str">
        <x:v>Sum and comparison</x:v>
      </x:c>
    </x:row>
    <x:row r="8">
      <x:c r="A8" s="47" t="str">
        <x:v>Risk_Level</x:v>
      </x:c>
      <x:c r="B8" s="52" t="str">
        <x:v>Low, Medium, or High</x:v>
      </x:c>
      <x:c r="C8" s="53" t="str">
        <x:v>Filter and hybrid questions</x:v>
      </x:c>
    </x:row>
    <x:row r="9">
      <x:c r="A9" s="47" t="str">
        <x:v>Status</x:v>
      </x:c>
      <x:c r="B9" s="52" t="str">
        <x:v>Open, At Risk, or Renewed</x:v>
      </x:c>
      <x:c r="C9" s="53" t="str">
        <x:v>Operational filtering</x:v>
      </x:c>
    </x:row>
    <x:row r="10">
      <x:c r="A10" s="47" t="str">
        <x:v>Last_Campaign_ID</x:v>
      </x:c>
      <x:c r="B10" s="52" t="str">
        <x:v>Link to sales.csv when available</x:v>
      </x:c>
      <x:c r="C10" s="53" t="str">
        <x:v>Cross-file traceability</x:v>
      </x:c>
    </x:row>
    <x:row r="11">
      <x:c r="A11" s="47" t="str">
        <x:v>Concern</x:v>
      </x:c>
      <x:c r="B11" s="52" t="str">
        <x:v>Narrative client concern</x:v>
      </x:c>
      <x:c r="C11" s="53" t="str">
        <x:v>Semantic retrieval and hybrid questions</x:v>
      </x:c>
    </x:row>
    <x:row r="12">
      <x:c r="A12" s="47" t="str">
        <x:v>Recommended_Action</x:v>
      </x:c>
      <x:c r="B12" s="52" t="str">
        <x:v>Suggested next step</x:v>
      </x:c>
      <x:c r="C12" s="53" t="str">
        <x:v>Semantic retrieval</x:v>
      </x:c>
    </x:row>
    <x:row r="13">
      <x:c r="A13" s="49" t="str">
        <x:v>Attribution_Mention</x:v>
      </x:c>
      <x:c r="B13" s="54" t="str">
        <x:v>Formula-derived Yes/No flag from Concern</x:v>
      </x:c>
      <x:c r="C13" s="55" t="str">
        <x:v>Auditable hybrid count helper</x:v>
      </x:c>
    </x:row>
  </x:sheetData>
  <x:pageMargins left="0.7" right="0.7" top="0.75" bottom="0.75" header="0.3" footer="0.3"/>
</x:worksheet>
</file>